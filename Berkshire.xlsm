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2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tin/AnacondaProjects/April code/read/"/>
    </mc:Choice>
  </mc:AlternateContent>
  <xr:revisionPtr revIDLastSave="0" documentId="13_ncr:40009_{3C9CD88F-DCAA-524C-9212-1EED20B5231B}" xr6:coauthVersionLast="47" xr6:coauthVersionMax="47" xr10:uidLastSave="{00000000-0000-0000-0000-000000000000}"/>
  <bookViews>
    <workbookView xWindow="40" yWindow="640" windowWidth="30160" windowHeight="17840"/>
  </bookViews>
  <sheets>
    <sheet name="Berkshire" sheetId="1" r:id="rId1"/>
    <sheet name="Sheet1" sheetId="2" r:id="rId2"/>
  </sheets>
  <calcPr calcId="0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2" i="2"/>
</calcChain>
</file>

<file path=xl/sharedStrings.xml><?xml version="1.0" encoding="utf-8"?>
<sst xmlns="http://schemas.openxmlformats.org/spreadsheetml/2006/main" count="388" uniqueCount="142">
  <si>
    <t>Symbol</t>
  </si>
  <si>
    <t>Name</t>
  </si>
  <si>
    <t>Percentage</t>
  </si>
  <si>
    <t>AAPL</t>
  </si>
  <si>
    <t>Apple Inc</t>
  </si>
  <si>
    <t>BAC</t>
  </si>
  <si>
    <t>Bank America Corp</t>
  </si>
  <si>
    <t>AXP</t>
  </si>
  <si>
    <t>American Express Co</t>
  </si>
  <si>
    <t>KO</t>
  </si>
  <si>
    <t>Coca Cola Co</t>
  </si>
  <si>
    <t>CVX</t>
  </si>
  <si>
    <t>Chevron Corp New</t>
  </si>
  <si>
    <t>OXY</t>
  </si>
  <si>
    <t>Occidental Pete Corp</t>
  </si>
  <si>
    <t>KHC</t>
  </si>
  <si>
    <t>Kraft Heinz Co</t>
  </si>
  <si>
    <t>MCO</t>
  </si>
  <si>
    <t>Moodys Corp</t>
  </si>
  <si>
    <t>DVA</t>
  </si>
  <si>
    <t>Davita Inc</t>
  </si>
  <si>
    <t>HPQ</t>
  </si>
  <si>
    <t>Hp Inc</t>
  </si>
  <si>
    <t>VRSN</t>
  </si>
  <si>
    <t>Verisign Inc</t>
  </si>
  <si>
    <t>C</t>
  </si>
  <si>
    <t>Citigroup Inc</t>
  </si>
  <si>
    <t>KR</t>
  </si>
  <si>
    <t>Kroger Co</t>
  </si>
  <si>
    <t>V</t>
  </si>
  <si>
    <t>Visa Inc</t>
  </si>
  <si>
    <t>CHTR</t>
  </si>
  <si>
    <t>Charter Communications Inc N</t>
  </si>
  <si>
    <t>MA</t>
  </si>
  <si>
    <t>Mastercard Incorporated</t>
  </si>
  <si>
    <t>AON</t>
  </si>
  <si>
    <t>Aon Plc</t>
  </si>
  <si>
    <t>AMZN</t>
  </si>
  <si>
    <t>Amazon Com Inc</t>
  </si>
  <si>
    <t>COF</t>
  </si>
  <si>
    <t>Capital One Finl Corp</t>
  </si>
  <si>
    <t>PARA</t>
  </si>
  <si>
    <t>Paramount Global</t>
  </si>
  <si>
    <t>LSXMK</t>
  </si>
  <si>
    <t>Liberty Media Corp Del</t>
  </si>
  <si>
    <t>SNOW</t>
  </si>
  <si>
    <t>Snowflake Inc</t>
  </si>
  <si>
    <t>NU</t>
  </si>
  <si>
    <t>Nu Hldgs Ltd</t>
  </si>
  <si>
    <t>ALLY</t>
  </si>
  <si>
    <t>Ally Finl Inc</t>
  </si>
  <si>
    <t>TMUS</t>
  </si>
  <si>
    <t>T-mobile Us Inc</t>
  </si>
  <si>
    <t>DHI</t>
  </si>
  <si>
    <t>D R Horton Inc</t>
  </si>
  <si>
    <t>LSXMA</t>
  </si>
  <si>
    <t>FWONK</t>
  </si>
  <si>
    <t>FND</t>
  </si>
  <si>
    <t>Floor &amp; Decor Hldgs Inc</t>
  </si>
  <si>
    <t>LPX</t>
  </si>
  <si>
    <t>Louisiana Pac Corp</t>
  </si>
  <si>
    <t>LLYVK</t>
  </si>
  <si>
    <t>MKL</t>
  </si>
  <si>
    <t>Markel Group Inc</t>
  </si>
  <si>
    <t>LLYVA</t>
  </si>
  <si>
    <t>STNE</t>
  </si>
  <si>
    <t>Stoneco Ltd</t>
  </si>
  <si>
    <t>GL</t>
  </si>
  <si>
    <t>Globe Life Inc</t>
  </si>
  <si>
    <t>NVR</t>
  </si>
  <si>
    <t>Nvr Inc</t>
  </si>
  <si>
    <t>SIRI</t>
  </si>
  <si>
    <t>Sirius Xm Holdings Inc</t>
  </si>
  <si>
    <t>DEO</t>
  </si>
  <si>
    <t>Diageo Plc</t>
  </si>
  <si>
    <t>LILA</t>
  </si>
  <si>
    <t>VOO</t>
  </si>
  <si>
    <t>SPY</t>
  </si>
  <si>
    <t>JEF</t>
  </si>
  <si>
    <t>LENB</t>
  </si>
  <si>
    <t>LILAK</t>
  </si>
  <si>
    <t>BATRK</t>
  </si>
  <si>
    <t>UPS</t>
  </si>
  <si>
    <t>PG</t>
  </si>
  <si>
    <t>MDLZ</t>
  </si>
  <si>
    <t>JNJ</t>
  </si>
  <si>
    <t>GM</t>
  </si>
  <si>
    <t>CE</t>
  </si>
  <si>
    <t>ATVI</t>
  </si>
  <si>
    <t>Information Technology</t>
  </si>
  <si>
    <t>Finance</t>
  </si>
  <si>
    <t>Consumer Discretionary</t>
  </si>
  <si>
    <t>Communications</t>
  </si>
  <si>
    <t>Materials</t>
  </si>
  <si>
    <t>Energy</t>
  </si>
  <si>
    <t>Consumer Staples</t>
  </si>
  <si>
    <t>Health Care</t>
  </si>
  <si>
    <t>Utilities And Telecommunications</t>
  </si>
  <si>
    <t>Transports</t>
  </si>
  <si>
    <t>LIBERTY LATIN AMERICA LTD</t>
  </si>
  <si>
    <t>VANGUARD INDEX FDS</t>
  </si>
  <si>
    <t>SPDR S&amp;P 500 ETF TR</t>
  </si>
  <si>
    <t>JEFFERIES FINL GROUP INC</t>
  </si>
  <si>
    <t>LENNAR CORP</t>
  </si>
  <si>
    <t>ATLANTA BRAVES HLDGS INC</t>
  </si>
  <si>
    <t>ISSUER NAME</t>
  </si>
  <si>
    <t>%</t>
  </si>
  <si>
    <t>APPLE INC</t>
  </si>
  <si>
    <t>ALLY FINL INC</t>
  </si>
  <si>
    <t>AON PLC</t>
  </si>
  <si>
    <t>AMERICAN EXPRESS CO</t>
  </si>
  <si>
    <t>BANK AMER CORP</t>
  </si>
  <si>
    <t>CITIGROUP INC</t>
  </si>
  <si>
    <t>CHARTER COMMUNICATIONS INC N</t>
  </si>
  <si>
    <t>CAPITAL ONE FINL CORP</t>
  </si>
  <si>
    <t>CHEVRON CORP NEW</t>
  </si>
  <si>
    <t>DIAGEO P L C</t>
  </si>
  <si>
    <t>D R HORTON INC</t>
  </si>
  <si>
    <t>DAVITA INC</t>
  </si>
  <si>
    <t>FLOOR &amp; DECOR HLDGS INC</t>
  </si>
  <si>
    <t>LIBERTY MEDIA CORP DEL</t>
  </si>
  <si>
    <t>GLOBE LIFE INC</t>
  </si>
  <si>
    <t>HP INC</t>
  </si>
  <si>
    <t>KRAFT HEINZ CO</t>
  </si>
  <si>
    <t>COCA COLA CO</t>
  </si>
  <si>
    <t>KROGER CO</t>
  </si>
  <si>
    <t>LEN-B</t>
  </si>
  <si>
    <t>LOUISIANA PAC CORP</t>
  </si>
  <si>
    <t>MASTERCARD INC</t>
  </si>
  <si>
    <t>MOODYS CORP</t>
  </si>
  <si>
    <t>MARKEL CORP</t>
  </si>
  <si>
    <t>NU HLDGS LTD</t>
  </si>
  <si>
    <t>NVR INC</t>
  </si>
  <si>
    <t>OCCIDENTAL PETE CORP</t>
  </si>
  <si>
    <t>PARAMOUNT GLOBAL</t>
  </si>
  <si>
    <t>SIRIUS XM HOLDINGS INC</t>
  </si>
  <si>
    <t>SNOWFLAKE INC</t>
  </si>
  <si>
    <t>STONECO LTD</t>
  </si>
  <si>
    <t>T-MOBILE US INC</t>
  </si>
  <si>
    <t>VISA INC</t>
  </si>
  <si>
    <t>VERISIGN INC</t>
  </si>
  <si>
    <t>Amazon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</si>
</sst>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Helvetica Neue"/>
      <family val="2"/>
    </font>
    <font>
      <sz val="12"/>
      <color rgb="FF000000"/>
      <name val="Helvetica Neue"/>
      <family val="2"/>
    </font>
    <font>
      <b/>
      <sz val="13"/>
      <color theme="1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0" fontId="0" fillId="0" borderId="0" xfId="0" applyNumberFormat="1"/>
    <xf numFmtId="0" fontId="18" fillId="0" borderId="0" xfId="0" applyFont="1"/>
    <xf numFmtId="0" fontId="19" fillId="0" borderId="0" xfId="0" applyFont="1"/>
    <xf numFmtId="10" fontId="18" fillId="0" borderId="0" xfId="0" applyNumberFormat="1" applyFont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3"/>
  <sheetViews>
    <sheetView tabSelected="1" zoomScale="118" workbookViewId="0">
      <selection activeCell="B17" sqref="B17"/>
    </sheetView>
  </sheetViews>
  <sheetFormatPr baseColWidth="10" defaultRowHeight="16" x14ac:dyDescent="0.2"/>
  <cols>
    <col min="2" max="2" width="30.1640625" bestFit="1" customWidth="1"/>
  </cols>
  <sheetData>
    <row r="1" spans="1:4" x14ac:dyDescent="0.2">
      <c r="A1" t="s">
        <v>0</v>
      </c>
      <c r="B1" t="s">
        <v>1</v>
      </c>
      <c r="C1" t="s">
        <v>2</v>
      </c>
    </row>
    <row r="2" spans="1:4" x14ac:dyDescent="0.2">
      <c r="A2" t="s">
        <v>3</v>
      </c>
      <c r="B2" t="s">
        <v>4</v>
      </c>
      <c r="C2" s="1">
        <v>0.50039999999999996</v>
      </c>
      <c r="D2" t="s">
        <v>89</v>
      </c>
    </row>
    <row r="3" spans="1:4" x14ac:dyDescent="0.2">
      <c r="A3" t="s">
        <v>5</v>
      </c>
      <c r="B3" t="s">
        <v>6</v>
      </c>
      <c r="C3" s="1">
        <v>9.0300000000000005E-2</v>
      </c>
      <c r="D3" t="s">
        <v>90</v>
      </c>
    </row>
    <row r="4" spans="1:4" x14ac:dyDescent="0.2">
      <c r="A4" t="s">
        <v>7</v>
      </c>
      <c r="B4" t="s">
        <v>8</v>
      </c>
      <c r="C4" s="1">
        <v>7.22E-2</v>
      </c>
      <c r="D4" t="s">
        <v>91</v>
      </c>
    </row>
    <row r="5" spans="1:4" x14ac:dyDescent="0.2">
      <c r="A5" t="s">
        <v>9</v>
      </c>
      <c r="B5" t="s">
        <v>10</v>
      </c>
      <c r="C5" s="1">
        <v>7.1499999999999994E-2</v>
      </c>
      <c r="D5" t="s">
        <v>90</v>
      </c>
    </row>
    <row r="6" spans="1:4" x14ac:dyDescent="0.2">
      <c r="A6" t="s">
        <v>11</v>
      </c>
      <c r="B6" t="s">
        <v>12</v>
      </c>
      <c r="C6" s="1">
        <v>5.9299999999999999E-2</v>
      </c>
      <c r="D6" t="s">
        <v>89</v>
      </c>
    </row>
    <row r="7" spans="1:4" x14ac:dyDescent="0.2">
      <c r="A7" t="s">
        <v>13</v>
      </c>
      <c r="B7" t="s">
        <v>14</v>
      </c>
      <c r="C7" s="1">
        <v>4.58E-2</v>
      </c>
      <c r="D7" t="s">
        <v>90</v>
      </c>
    </row>
    <row r="8" spans="1:4" x14ac:dyDescent="0.2">
      <c r="A8" t="s">
        <v>15</v>
      </c>
      <c r="B8" t="s">
        <v>16</v>
      </c>
      <c r="C8" s="1">
        <v>3.5000000000000003E-2</v>
      </c>
      <c r="D8" t="s">
        <v>90</v>
      </c>
    </row>
    <row r="9" spans="1:4" x14ac:dyDescent="0.2">
      <c r="A9" t="s">
        <v>17</v>
      </c>
      <c r="B9" t="s">
        <v>18</v>
      </c>
      <c r="C9" s="1">
        <v>2.4899999999999999E-2</v>
      </c>
      <c r="D9" t="s">
        <v>92</v>
      </c>
    </row>
    <row r="10" spans="1:4" x14ac:dyDescent="0.2">
      <c r="A10" t="s">
        <v>19</v>
      </c>
      <c r="B10" t="s">
        <v>20</v>
      </c>
      <c r="C10" s="1">
        <v>1.09E-2</v>
      </c>
      <c r="D10" t="s">
        <v>90</v>
      </c>
    </row>
    <row r="11" spans="1:4" x14ac:dyDescent="0.2">
      <c r="A11" t="s">
        <v>21</v>
      </c>
      <c r="B11" t="s">
        <v>22</v>
      </c>
      <c r="C11" s="1">
        <v>8.3999999999999995E-3</v>
      </c>
      <c r="D11" t="s">
        <v>93</v>
      </c>
    </row>
    <row r="12" spans="1:4" x14ac:dyDescent="0.2">
      <c r="A12" t="s">
        <v>23</v>
      </c>
      <c r="B12" t="s">
        <v>24</v>
      </c>
      <c r="C12" s="1">
        <v>8.3000000000000001E-3</v>
      </c>
      <c r="D12" t="s">
        <v>92</v>
      </c>
    </row>
    <row r="13" spans="1:4" x14ac:dyDescent="0.2">
      <c r="A13" t="s">
        <v>25</v>
      </c>
      <c r="B13" t="s">
        <v>26</v>
      </c>
      <c r="C13" s="1">
        <v>7.3000000000000001E-3</v>
      </c>
      <c r="D13" t="s">
        <v>90</v>
      </c>
    </row>
    <row r="14" spans="1:4" x14ac:dyDescent="0.2">
      <c r="A14" t="s">
        <v>27</v>
      </c>
      <c r="B14" t="s">
        <v>28</v>
      </c>
      <c r="C14" s="1">
        <v>7.1000000000000004E-3</v>
      </c>
      <c r="D14" t="s">
        <v>94</v>
      </c>
    </row>
    <row r="15" spans="1:4" x14ac:dyDescent="0.2">
      <c r="A15" t="s">
        <v>29</v>
      </c>
      <c r="B15" t="s">
        <v>30</v>
      </c>
      <c r="C15" s="1">
        <v>6.1000000000000004E-3</v>
      </c>
      <c r="D15" t="s">
        <v>95</v>
      </c>
    </row>
    <row r="16" spans="1:4" x14ac:dyDescent="0.2">
      <c r="A16" t="s">
        <v>31</v>
      </c>
      <c r="B16" t="s">
        <v>32</v>
      </c>
      <c r="C16" s="1">
        <v>5.4000000000000003E-3</v>
      </c>
      <c r="D16" t="s">
        <v>91</v>
      </c>
    </row>
    <row r="17" spans="1:4" x14ac:dyDescent="0.2">
      <c r="A17" t="s">
        <v>33</v>
      </c>
      <c r="B17" t="s">
        <v>34</v>
      </c>
      <c r="C17" s="1">
        <v>5.0000000000000001E-3</v>
      </c>
      <c r="D17" t="s">
        <v>96</v>
      </c>
    </row>
    <row r="18" spans="1:4" x14ac:dyDescent="0.2">
      <c r="A18" t="s">
        <v>35</v>
      </c>
      <c r="B18" t="s">
        <v>36</v>
      </c>
      <c r="C18" s="1">
        <v>4.1999999999999997E-3</v>
      </c>
      <c r="D18" t="s">
        <v>91</v>
      </c>
    </row>
    <row r="19" spans="1:4" x14ac:dyDescent="0.2">
      <c r="A19" t="s">
        <v>37</v>
      </c>
      <c r="B19" t="s">
        <v>38</v>
      </c>
      <c r="C19" s="1">
        <v>4.1000000000000003E-3</v>
      </c>
      <c r="D19" t="s">
        <v>92</v>
      </c>
    </row>
    <row r="20" spans="1:4" x14ac:dyDescent="0.2">
      <c r="A20" t="s">
        <v>39</v>
      </c>
      <c r="B20" t="s">
        <v>40</v>
      </c>
      <c r="C20" s="1">
        <v>3.8999999999999998E-3</v>
      </c>
      <c r="D20" t="s">
        <v>90</v>
      </c>
    </row>
    <row r="21" spans="1:4" x14ac:dyDescent="0.2">
      <c r="A21" t="s">
        <v>41</v>
      </c>
      <c r="B21" t="s">
        <v>42</v>
      </c>
      <c r="C21" s="1">
        <v>3.8999999999999998E-3</v>
      </c>
      <c r="D21" t="s">
        <v>91</v>
      </c>
    </row>
    <row r="22" spans="1:4" x14ac:dyDescent="0.2">
      <c r="A22" t="s">
        <v>43</v>
      </c>
      <c r="B22" t="s">
        <v>44</v>
      </c>
      <c r="C22" s="1">
        <v>3.5000000000000001E-3</v>
      </c>
      <c r="D22" t="s">
        <v>89</v>
      </c>
    </row>
    <row r="23" spans="1:4" x14ac:dyDescent="0.2">
      <c r="A23" t="s">
        <v>45</v>
      </c>
      <c r="B23" t="s">
        <v>46</v>
      </c>
      <c r="C23" s="1">
        <v>3.0000000000000001E-3</v>
      </c>
      <c r="D23" t="s">
        <v>90</v>
      </c>
    </row>
    <row r="24" spans="1:4" x14ac:dyDescent="0.2">
      <c r="A24" t="s">
        <v>47</v>
      </c>
      <c r="B24" t="s">
        <v>48</v>
      </c>
      <c r="C24" s="1">
        <v>2.5000000000000001E-3</v>
      </c>
      <c r="D24" t="s">
        <v>96</v>
      </c>
    </row>
    <row r="25" spans="1:4" x14ac:dyDescent="0.2">
      <c r="A25" t="s">
        <v>49</v>
      </c>
      <c r="B25" t="s">
        <v>50</v>
      </c>
      <c r="C25" s="1">
        <v>2.5000000000000001E-3</v>
      </c>
      <c r="D25" t="s">
        <v>95</v>
      </c>
    </row>
    <row r="26" spans="1:4" x14ac:dyDescent="0.2">
      <c r="A26" t="s">
        <v>51</v>
      </c>
      <c r="B26" t="s">
        <v>52</v>
      </c>
      <c r="C26" s="1">
        <v>2.3E-3</v>
      </c>
      <c r="D26" t="s">
        <v>95</v>
      </c>
    </row>
    <row r="27" spans="1:4" x14ac:dyDescent="0.2">
      <c r="A27" t="s">
        <v>53</v>
      </c>
      <c r="B27" t="s">
        <v>54</v>
      </c>
      <c r="C27" s="1">
        <v>2E-3</v>
      </c>
      <c r="D27" t="s">
        <v>95</v>
      </c>
    </row>
    <row r="28" spans="1:4" x14ac:dyDescent="0.2">
      <c r="A28" t="s">
        <v>55</v>
      </c>
      <c r="B28" t="s">
        <v>44</v>
      </c>
      <c r="C28" s="1">
        <v>1.6000000000000001E-3</v>
      </c>
      <c r="D28" t="s">
        <v>91</v>
      </c>
    </row>
    <row r="29" spans="1:4" x14ac:dyDescent="0.2">
      <c r="A29" t="s">
        <v>56</v>
      </c>
      <c r="B29" t="s">
        <v>44</v>
      </c>
      <c r="C29" s="1">
        <v>1.5E-3</v>
      </c>
      <c r="D29" t="s">
        <v>97</v>
      </c>
    </row>
    <row r="30" spans="1:4" x14ac:dyDescent="0.2">
      <c r="A30" t="s">
        <v>57</v>
      </c>
      <c r="B30" t="s">
        <v>58</v>
      </c>
      <c r="C30" s="1">
        <v>1.4E-3</v>
      </c>
      <c r="D30" t="s">
        <v>92</v>
      </c>
    </row>
    <row r="31" spans="1:4" x14ac:dyDescent="0.2">
      <c r="A31" t="s">
        <v>59</v>
      </c>
      <c r="B31" t="s">
        <v>60</v>
      </c>
      <c r="C31" s="1">
        <v>1.1999999999999999E-3</v>
      </c>
      <c r="D31" t="s">
        <v>92</v>
      </c>
    </row>
    <row r="32" spans="1:4" x14ac:dyDescent="0.2">
      <c r="A32" t="s">
        <v>61</v>
      </c>
      <c r="B32" t="s">
        <v>44</v>
      </c>
      <c r="C32" s="1">
        <v>1.1000000000000001E-3</v>
      </c>
      <c r="D32" t="s">
        <v>92</v>
      </c>
    </row>
    <row r="33" spans="1:4" x14ac:dyDescent="0.2">
      <c r="A33" t="s">
        <v>62</v>
      </c>
      <c r="B33" t="s">
        <v>63</v>
      </c>
      <c r="C33" s="1">
        <v>6.9999999999999999E-4</v>
      </c>
      <c r="D33" t="s">
        <v>93</v>
      </c>
    </row>
    <row r="34" spans="1:4" x14ac:dyDescent="0.2">
      <c r="A34" t="s">
        <v>64</v>
      </c>
      <c r="B34" t="s">
        <v>44</v>
      </c>
      <c r="C34" s="1">
        <v>5.0000000000000001E-4</v>
      </c>
      <c r="D34" t="s">
        <v>92</v>
      </c>
    </row>
    <row r="35" spans="1:4" x14ac:dyDescent="0.2">
      <c r="A35" t="s">
        <v>65</v>
      </c>
      <c r="B35" t="s">
        <v>66</v>
      </c>
      <c r="C35" s="1">
        <v>4.0000000000000002E-4</v>
      </c>
      <c r="D35" t="s">
        <v>92</v>
      </c>
    </row>
    <row r="36" spans="1:4" x14ac:dyDescent="0.2">
      <c r="A36" t="s">
        <v>67</v>
      </c>
      <c r="B36" t="s">
        <v>68</v>
      </c>
      <c r="C36" s="1">
        <v>2.9999999999999997E-4</v>
      </c>
      <c r="D36" t="s">
        <v>90</v>
      </c>
    </row>
    <row r="37" spans="1:4" x14ac:dyDescent="0.2">
      <c r="A37" t="s">
        <v>69</v>
      </c>
      <c r="B37" t="s">
        <v>70</v>
      </c>
      <c r="C37" s="1">
        <v>2.0000000000000001E-4</v>
      </c>
      <c r="D37" t="s">
        <v>90</v>
      </c>
    </row>
    <row r="38" spans="1:4" x14ac:dyDescent="0.2">
      <c r="A38" t="s">
        <v>71</v>
      </c>
      <c r="B38" t="s">
        <v>72</v>
      </c>
      <c r="C38" s="1">
        <v>1E-4</v>
      </c>
      <c r="D38" t="s">
        <v>95</v>
      </c>
    </row>
    <row r="39" spans="1:4" x14ac:dyDescent="0.2">
      <c r="A39" t="s">
        <v>73</v>
      </c>
      <c r="B39" t="s">
        <v>74</v>
      </c>
      <c r="C39" s="1">
        <v>1E-4</v>
      </c>
      <c r="D39" t="s">
        <v>90</v>
      </c>
    </row>
    <row r="40" spans="1:4" x14ac:dyDescent="0.2">
      <c r="A40" t="s">
        <v>75</v>
      </c>
      <c r="B40" s="2" t="s">
        <v>99</v>
      </c>
      <c r="D40" t="s">
        <v>89</v>
      </c>
    </row>
    <row r="41" spans="1:4" x14ac:dyDescent="0.2">
      <c r="A41" t="s">
        <v>76</v>
      </c>
      <c r="B41" s="2" t="s">
        <v>100</v>
      </c>
      <c r="D41" t="s">
        <v>91</v>
      </c>
    </row>
    <row r="42" spans="1:4" x14ac:dyDescent="0.2">
      <c r="A42" t="s">
        <v>77</v>
      </c>
      <c r="B42" s="2" t="s">
        <v>101</v>
      </c>
      <c r="D42" t="s">
        <v>94</v>
      </c>
    </row>
    <row r="43" spans="1:4" x14ac:dyDescent="0.2">
      <c r="A43" t="s">
        <v>78</v>
      </c>
      <c r="B43" s="2" t="s">
        <v>102</v>
      </c>
      <c r="D43" t="s">
        <v>92</v>
      </c>
    </row>
    <row r="44" spans="1:4" x14ac:dyDescent="0.2">
      <c r="A44" t="s">
        <v>79</v>
      </c>
      <c r="B44" s="2" t="s">
        <v>103</v>
      </c>
      <c r="D44" t="s">
        <v>95</v>
      </c>
    </row>
    <row r="45" spans="1:4" x14ac:dyDescent="0.2">
      <c r="A45" t="s">
        <v>80</v>
      </c>
      <c r="B45" s="2" t="s">
        <v>99</v>
      </c>
      <c r="D45" t="s">
        <v>92</v>
      </c>
    </row>
    <row r="46" spans="1:4" x14ac:dyDescent="0.2">
      <c r="A46" t="s">
        <v>81</v>
      </c>
      <c r="B46" s="2" t="s">
        <v>104</v>
      </c>
      <c r="D46" t="s">
        <v>89</v>
      </c>
    </row>
    <row r="47" spans="1:4" x14ac:dyDescent="0.2">
      <c r="A47" t="s">
        <v>82</v>
      </c>
      <c r="D47" t="s">
        <v>90</v>
      </c>
    </row>
    <row r="48" spans="1:4" x14ac:dyDescent="0.2">
      <c r="A48" t="s">
        <v>83</v>
      </c>
      <c r="D48" t="s">
        <v>89</v>
      </c>
    </row>
    <row r="49" spans="1:4" x14ac:dyDescent="0.2">
      <c r="A49" t="s">
        <v>84</v>
      </c>
      <c r="D49" t="s">
        <v>97</v>
      </c>
    </row>
    <row r="50" spans="1:4" x14ac:dyDescent="0.2">
      <c r="A50" t="s">
        <v>85</v>
      </c>
      <c r="D50" t="s">
        <v>98</v>
      </c>
    </row>
    <row r="51" spans="1:4" x14ac:dyDescent="0.2">
      <c r="A51" t="s">
        <v>86</v>
      </c>
      <c r="D51" t="s">
        <v>90</v>
      </c>
    </row>
    <row r="52" spans="1:4" x14ac:dyDescent="0.2">
      <c r="A52" t="s">
        <v>87</v>
      </c>
      <c r="D52" t="s">
        <v>90</v>
      </c>
    </row>
    <row r="53" spans="1:4" x14ac:dyDescent="0.2">
      <c r="A53" t="s">
        <v>88</v>
      </c>
      <c r="D53" t="s">
        <v>92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3"/>
  <sheetViews>
    <sheetView zoomScale="179" workbookViewId="0">
      <selection activeCell="G42" sqref="G42"/>
    </sheetView>
  </sheetViews>
  <sheetFormatPr baseColWidth="10" defaultRowHeight="16" x14ac:dyDescent="0.2"/>
  <cols>
    <col min="1" max="1" width="8.5" bestFit="1" customWidth="1"/>
    <col min="2" max="2" width="36.33203125" bestFit="1" customWidth="1"/>
    <col min="3" max="3" width="8.33203125" bestFit="1" customWidth="1"/>
    <col min="4" max="7" width="8.33203125" customWidth="1"/>
    <col min="9" max="9" width="30.1640625" bestFit="1" customWidth="1"/>
  </cols>
  <sheetData>
    <row r="1" spans="1:11" x14ac:dyDescent="0.2">
      <c r="A1" s="3" t="s">
        <v>0</v>
      </c>
      <c r="B1" s="3" t="s">
        <v>105</v>
      </c>
      <c r="C1" s="3" t="s">
        <v>106</v>
      </c>
      <c r="D1" s="3"/>
      <c r="E1" s="3"/>
      <c r="F1" s="3"/>
      <c r="G1" s="3"/>
      <c r="H1" t="s">
        <v>0</v>
      </c>
      <c r="I1" t="s">
        <v>1</v>
      </c>
      <c r="J1" t="s">
        <v>2</v>
      </c>
    </row>
    <row r="2" spans="1:11" ht="17" x14ac:dyDescent="0.2">
      <c r="A2" s="2" t="s">
        <v>3</v>
      </c>
      <c r="B2" s="2" t="s">
        <v>107</v>
      </c>
      <c r="C2" s="4">
        <v>0.5</v>
      </c>
      <c r="D2" s="5" t="str">
        <f>IF(ISNA(VLOOKUP(A2,H:H,1,FALSE)),"Not Matched", K2)</f>
        <v>Information Technology</v>
      </c>
      <c r="E2" s="4"/>
      <c r="F2" s="4"/>
      <c r="G2" s="4"/>
      <c r="H2" t="s">
        <v>3</v>
      </c>
      <c r="I2" t="s">
        <v>4</v>
      </c>
      <c r="J2" s="1">
        <v>0.50039999999999996</v>
      </c>
      <c r="K2" t="s">
        <v>89</v>
      </c>
    </row>
    <row r="3" spans="1:11" ht="17" x14ac:dyDescent="0.2">
      <c r="A3" s="2" t="s">
        <v>5</v>
      </c>
      <c r="B3" s="2" t="s">
        <v>111</v>
      </c>
      <c r="C3" s="4">
        <v>0.09</v>
      </c>
      <c r="D3" s="5" t="str">
        <f t="shared" ref="D3:D46" si="0">IF(ISNA(VLOOKUP(A3,H:H,1,FALSE)),"Not Matched", K3)</f>
        <v>Finance</v>
      </c>
      <c r="E3" s="4"/>
      <c r="F3" s="4"/>
      <c r="G3" s="4"/>
      <c r="H3" t="s">
        <v>5</v>
      </c>
      <c r="I3" t="s">
        <v>6</v>
      </c>
      <c r="J3" s="1">
        <v>9.0300000000000005E-2</v>
      </c>
      <c r="K3" t="s">
        <v>90</v>
      </c>
    </row>
    <row r="4" spans="1:11" ht="17" x14ac:dyDescent="0.2">
      <c r="A4" s="2" t="s">
        <v>7</v>
      </c>
      <c r="B4" s="2" t="s">
        <v>110</v>
      </c>
      <c r="C4" s="4">
        <v>7.1999999999999995E-2</v>
      </c>
      <c r="D4" s="5" t="str">
        <f t="shared" si="0"/>
        <v>Consumer Discretionary</v>
      </c>
      <c r="E4" s="4"/>
      <c r="F4" s="4"/>
      <c r="G4" s="4"/>
      <c r="H4" t="s">
        <v>7</v>
      </c>
      <c r="I4" t="s">
        <v>8</v>
      </c>
      <c r="J4" s="1">
        <v>7.22E-2</v>
      </c>
      <c r="K4" t="s">
        <v>91</v>
      </c>
    </row>
    <row r="5" spans="1:11" ht="17" x14ac:dyDescent="0.2">
      <c r="A5" s="2" t="s">
        <v>9</v>
      </c>
      <c r="B5" s="2" t="s">
        <v>124</v>
      </c>
      <c r="C5" s="4">
        <v>7.0999999999999994E-2</v>
      </c>
      <c r="D5" s="5" t="str">
        <f t="shared" si="0"/>
        <v>Finance</v>
      </c>
      <c r="E5" s="4"/>
      <c r="F5" s="4"/>
      <c r="G5" s="4"/>
      <c r="H5" t="s">
        <v>9</v>
      </c>
      <c r="I5" t="s">
        <v>10</v>
      </c>
      <c r="J5" s="1">
        <v>7.1499999999999994E-2</v>
      </c>
      <c r="K5" t="s">
        <v>90</v>
      </c>
    </row>
    <row r="6" spans="1:11" ht="17" x14ac:dyDescent="0.2">
      <c r="A6" s="2" t="s">
        <v>11</v>
      </c>
      <c r="B6" s="2" t="s">
        <v>115</v>
      </c>
      <c r="C6" s="4">
        <v>5.8999999999999997E-2</v>
      </c>
      <c r="D6" s="5" t="str">
        <f t="shared" si="0"/>
        <v>Information Technology</v>
      </c>
      <c r="E6" s="4"/>
      <c r="F6" s="4"/>
      <c r="G6" s="4"/>
      <c r="H6" t="s">
        <v>11</v>
      </c>
      <c r="I6" t="s">
        <v>12</v>
      </c>
      <c r="J6" s="1">
        <v>5.9299999999999999E-2</v>
      </c>
      <c r="K6" t="s">
        <v>89</v>
      </c>
    </row>
    <row r="7" spans="1:11" ht="17" x14ac:dyDescent="0.2">
      <c r="A7" s="2" t="s">
        <v>13</v>
      </c>
      <c r="B7" s="2" t="s">
        <v>133</v>
      </c>
      <c r="C7" s="4">
        <v>4.5999999999999999E-2</v>
      </c>
      <c r="D7" s="5" t="str">
        <f t="shared" si="0"/>
        <v>Finance</v>
      </c>
      <c r="E7" s="4"/>
      <c r="F7" s="4"/>
      <c r="G7" s="4"/>
      <c r="H7" t="s">
        <v>13</v>
      </c>
      <c r="I7" t="s">
        <v>14</v>
      </c>
      <c r="J7" s="1">
        <v>4.58E-2</v>
      </c>
      <c r="K7" t="s">
        <v>90</v>
      </c>
    </row>
    <row r="8" spans="1:11" ht="17" x14ac:dyDescent="0.2">
      <c r="A8" s="2" t="s">
        <v>15</v>
      </c>
      <c r="B8" s="2" t="s">
        <v>123</v>
      </c>
      <c r="C8" s="4">
        <v>3.5000000000000003E-2</v>
      </c>
      <c r="D8" s="5" t="str">
        <f t="shared" si="0"/>
        <v>Finance</v>
      </c>
      <c r="E8" s="4"/>
      <c r="F8" s="4"/>
      <c r="G8" s="4"/>
      <c r="H8" t="s">
        <v>15</v>
      </c>
      <c r="I8" t="s">
        <v>16</v>
      </c>
      <c r="J8" s="1">
        <v>3.5000000000000003E-2</v>
      </c>
      <c r="K8" t="s">
        <v>90</v>
      </c>
    </row>
    <row r="9" spans="1:11" ht="17" x14ac:dyDescent="0.2">
      <c r="A9" s="2" t="s">
        <v>17</v>
      </c>
      <c r="B9" s="2" t="s">
        <v>129</v>
      </c>
      <c r="C9" s="4">
        <v>2.5000000000000001E-2</v>
      </c>
      <c r="D9" s="5" t="str">
        <f t="shared" si="0"/>
        <v>Communications</v>
      </c>
      <c r="E9" s="4"/>
      <c r="F9" s="4"/>
      <c r="G9" s="4"/>
      <c r="H9" t="s">
        <v>17</v>
      </c>
      <c r="I9" t="s">
        <v>18</v>
      </c>
      <c r="J9" s="1">
        <v>2.4899999999999999E-2</v>
      </c>
      <c r="K9" t="s">
        <v>92</v>
      </c>
    </row>
    <row r="10" spans="1:11" ht="17" x14ac:dyDescent="0.2">
      <c r="A10" s="2" t="s">
        <v>19</v>
      </c>
      <c r="B10" s="2" t="s">
        <v>118</v>
      </c>
      <c r="C10" s="4">
        <v>1.0999999999999999E-2</v>
      </c>
      <c r="D10" s="5" t="str">
        <f t="shared" si="0"/>
        <v>Finance</v>
      </c>
      <c r="E10" s="4"/>
      <c r="F10" s="4"/>
      <c r="G10" s="4"/>
      <c r="H10" t="s">
        <v>19</v>
      </c>
      <c r="I10" t="s">
        <v>20</v>
      </c>
      <c r="J10" s="1">
        <v>1.09E-2</v>
      </c>
      <c r="K10" t="s">
        <v>90</v>
      </c>
    </row>
    <row r="11" spans="1:11" ht="17" x14ac:dyDescent="0.2">
      <c r="A11" s="2" t="s">
        <v>21</v>
      </c>
      <c r="B11" s="2" t="s">
        <v>122</v>
      </c>
      <c r="C11" s="4">
        <v>8.0000000000000002E-3</v>
      </c>
      <c r="D11" s="5" t="str">
        <f t="shared" si="0"/>
        <v>Materials</v>
      </c>
      <c r="E11" s="4"/>
      <c r="F11" s="4"/>
      <c r="G11" s="4"/>
      <c r="H11" t="s">
        <v>21</v>
      </c>
      <c r="I11" t="s">
        <v>22</v>
      </c>
      <c r="J11" s="1">
        <v>8.3999999999999995E-3</v>
      </c>
      <c r="K11" t="s">
        <v>93</v>
      </c>
    </row>
    <row r="12" spans="1:11" ht="17" x14ac:dyDescent="0.2">
      <c r="A12" s="2" t="s">
        <v>25</v>
      </c>
      <c r="B12" s="2" t="s">
        <v>112</v>
      </c>
      <c r="C12" s="4">
        <v>7.0000000000000001E-3</v>
      </c>
      <c r="D12" s="5" t="str">
        <f t="shared" si="0"/>
        <v>Communications</v>
      </c>
      <c r="E12" s="4"/>
      <c r="F12" s="4"/>
      <c r="G12" s="4"/>
      <c r="H12" t="s">
        <v>23</v>
      </c>
      <c r="I12" t="s">
        <v>24</v>
      </c>
      <c r="J12" s="1">
        <v>8.3000000000000001E-3</v>
      </c>
      <c r="K12" t="s">
        <v>92</v>
      </c>
    </row>
    <row r="13" spans="1:11" ht="17" x14ac:dyDescent="0.2">
      <c r="A13" s="2" t="s">
        <v>27</v>
      </c>
      <c r="B13" s="2" t="s">
        <v>125</v>
      </c>
      <c r="C13" s="4">
        <v>7.0000000000000001E-3</v>
      </c>
      <c r="D13" s="5" t="str">
        <f t="shared" si="0"/>
        <v>Finance</v>
      </c>
      <c r="E13" s="4"/>
      <c r="F13" s="4"/>
      <c r="G13" s="4"/>
      <c r="H13" t="s">
        <v>25</v>
      </c>
      <c r="I13" t="s">
        <v>26</v>
      </c>
      <c r="J13" s="1">
        <v>7.3000000000000001E-3</v>
      </c>
      <c r="K13" t="s">
        <v>90</v>
      </c>
    </row>
    <row r="14" spans="1:11" ht="17" x14ac:dyDescent="0.2">
      <c r="A14" s="2" t="s">
        <v>29</v>
      </c>
      <c r="B14" s="2" t="s">
        <v>139</v>
      </c>
      <c r="C14" s="4">
        <v>6.0000000000000001E-3</v>
      </c>
      <c r="D14" s="5" t="str">
        <f t="shared" si="0"/>
        <v>Energy</v>
      </c>
      <c r="E14" s="4"/>
      <c r="F14" s="4"/>
      <c r="G14" s="4"/>
      <c r="H14" t="s">
        <v>27</v>
      </c>
      <c r="I14" t="s">
        <v>28</v>
      </c>
      <c r="J14" s="1">
        <v>7.1000000000000004E-3</v>
      </c>
      <c r="K14" t="s">
        <v>94</v>
      </c>
    </row>
    <row r="15" spans="1:11" ht="17" x14ac:dyDescent="0.2">
      <c r="A15" s="2" t="s">
        <v>31</v>
      </c>
      <c r="B15" s="2" t="s">
        <v>113</v>
      </c>
      <c r="C15" s="4">
        <v>5.0000000000000001E-3</v>
      </c>
      <c r="D15" s="5" t="str">
        <f t="shared" si="0"/>
        <v>Consumer Staples</v>
      </c>
      <c r="E15" s="4"/>
      <c r="F15" s="4"/>
      <c r="G15" s="4"/>
      <c r="H15" t="s">
        <v>29</v>
      </c>
      <c r="I15" t="s">
        <v>30</v>
      </c>
      <c r="J15" s="1">
        <v>6.1000000000000004E-3</v>
      </c>
      <c r="K15" t="s">
        <v>95</v>
      </c>
    </row>
    <row r="16" spans="1:11" ht="17" x14ac:dyDescent="0.2">
      <c r="A16" s="2" t="s">
        <v>33</v>
      </c>
      <c r="B16" s="2" t="s">
        <v>128</v>
      </c>
      <c r="C16" s="4">
        <v>5.0000000000000001E-3</v>
      </c>
      <c r="D16" s="5" t="str">
        <f t="shared" si="0"/>
        <v>Consumer Discretionary</v>
      </c>
      <c r="E16" s="4"/>
      <c r="F16" s="4"/>
      <c r="G16" s="4"/>
      <c r="H16" t="s">
        <v>31</v>
      </c>
      <c r="I16" t="s">
        <v>32</v>
      </c>
      <c r="J16" s="1">
        <v>5.4000000000000003E-3</v>
      </c>
      <c r="K16" t="s">
        <v>91</v>
      </c>
    </row>
    <row r="17" spans="1:11" ht="17" x14ac:dyDescent="0.2">
      <c r="A17" s="2" t="s">
        <v>37</v>
      </c>
      <c r="B17" s="2" t="s">
        <v>141</v>
      </c>
      <c r="C17" s="4">
        <v>4.0000000000000001E-3</v>
      </c>
      <c r="D17" s="5" t="str">
        <f t="shared" si="0"/>
        <v>Health Care</v>
      </c>
      <c r="E17" s="4"/>
      <c r="F17" s="4"/>
      <c r="G17" s="4"/>
      <c r="H17" t="s">
        <v>33</v>
      </c>
      <c r="I17" s="2" t="s">
        <v>128</v>
      </c>
      <c r="J17" s="1">
        <v>5.0000000000000001E-3</v>
      </c>
      <c r="K17" t="s">
        <v>96</v>
      </c>
    </row>
    <row r="18" spans="1:11" ht="17" x14ac:dyDescent="0.2">
      <c r="A18" s="2" t="s">
        <v>35</v>
      </c>
      <c r="B18" s="2" t="s">
        <v>109</v>
      </c>
      <c r="C18" s="4">
        <v>4.0000000000000001E-3</v>
      </c>
      <c r="D18" s="5" t="str">
        <f t="shared" si="0"/>
        <v>Consumer Discretionary</v>
      </c>
      <c r="E18" s="4"/>
      <c r="F18" s="4"/>
      <c r="G18" s="4"/>
      <c r="H18" t="s">
        <v>35</v>
      </c>
      <c r="I18" t="s">
        <v>36</v>
      </c>
      <c r="J18" s="1">
        <v>4.1999999999999997E-3</v>
      </c>
      <c r="K18" t="s">
        <v>91</v>
      </c>
    </row>
    <row r="19" spans="1:11" ht="17" x14ac:dyDescent="0.2">
      <c r="A19" s="2" t="s">
        <v>39</v>
      </c>
      <c r="B19" s="2" t="s">
        <v>114</v>
      </c>
      <c r="C19" s="4">
        <v>4.0000000000000001E-3</v>
      </c>
      <c r="D19" s="5" t="str">
        <f t="shared" si="0"/>
        <v>Communications</v>
      </c>
      <c r="E19" s="4"/>
      <c r="F19" s="4"/>
      <c r="G19" s="4"/>
      <c r="H19" t="s">
        <v>37</v>
      </c>
      <c r="I19" t="s">
        <v>141</v>
      </c>
      <c r="J19" s="1">
        <v>4.1000000000000003E-3</v>
      </c>
      <c r="K19" t="s">
        <v>92</v>
      </c>
    </row>
    <row r="20" spans="1:11" ht="17" x14ac:dyDescent="0.2">
      <c r="A20" s="2" t="s">
        <v>43</v>
      </c>
      <c r="B20" s="2" t="s">
        <v>120</v>
      </c>
      <c r="C20" s="4">
        <v>4.0000000000000001E-3</v>
      </c>
      <c r="D20" s="5" t="str">
        <f t="shared" si="0"/>
        <v>Finance</v>
      </c>
      <c r="E20" s="4"/>
      <c r="F20" s="4"/>
      <c r="G20" s="4"/>
      <c r="H20" t="s">
        <v>39</v>
      </c>
      <c r="I20" t="s">
        <v>40</v>
      </c>
      <c r="J20" s="1">
        <v>3.8999999999999998E-3</v>
      </c>
      <c r="K20" t="s">
        <v>90</v>
      </c>
    </row>
    <row r="21" spans="1:11" ht="17" x14ac:dyDescent="0.2">
      <c r="A21" s="2" t="s">
        <v>41</v>
      </c>
      <c r="B21" s="2" t="s">
        <v>134</v>
      </c>
      <c r="C21" s="4">
        <v>4.0000000000000001E-3</v>
      </c>
      <c r="D21" s="5" t="str">
        <f t="shared" si="0"/>
        <v>Consumer Discretionary</v>
      </c>
      <c r="E21" s="4"/>
      <c r="F21" s="4"/>
      <c r="G21" s="4"/>
      <c r="H21" t="s">
        <v>41</v>
      </c>
      <c r="I21" t="s">
        <v>42</v>
      </c>
      <c r="J21" s="1">
        <v>3.8999999999999998E-3</v>
      </c>
      <c r="K21" t="s">
        <v>91</v>
      </c>
    </row>
    <row r="22" spans="1:11" ht="17" x14ac:dyDescent="0.2">
      <c r="A22" s="2" t="s">
        <v>45</v>
      </c>
      <c r="B22" s="2" t="s">
        <v>136</v>
      </c>
      <c r="C22" s="4">
        <v>3.0000000000000001E-3</v>
      </c>
      <c r="D22" s="5" t="str">
        <f t="shared" si="0"/>
        <v>Information Technology</v>
      </c>
      <c r="E22" s="4"/>
      <c r="F22" s="4"/>
      <c r="G22" s="4"/>
      <c r="H22" t="s">
        <v>43</v>
      </c>
      <c r="I22" t="s">
        <v>44</v>
      </c>
      <c r="J22" s="1">
        <v>3.5000000000000001E-3</v>
      </c>
      <c r="K22" t="s">
        <v>89</v>
      </c>
    </row>
    <row r="23" spans="1:11" ht="17" x14ac:dyDescent="0.2">
      <c r="A23" s="2" t="s">
        <v>49</v>
      </c>
      <c r="B23" s="2" t="s">
        <v>108</v>
      </c>
      <c r="C23" s="4">
        <v>2E-3</v>
      </c>
      <c r="D23" s="5" t="str">
        <f t="shared" si="0"/>
        <v>Finance</v>
      </c>
      <c r="E23" s="4"/>
      <c r="F23" s="4"/>
      <c r="G23" s="4"/>
      <c r="H23" t="s">
        <v>45</v>
      </c>
      <c r="I23" t="s">
        <v>46</v>
      </c>
      <c r="J23" s="1">
        <v>3.0000000000000001E-3</v>
      </c>
      <c r="K23" t="s">
        <v>90</v>
      </c>
    </row>
    <row r="24" spans="1:11" ht="17" x14ac:dyDescent="0.2">
      <c r="A24" s="2" t="s">
        <v>53</v>
      </c>
      <c r="B24" s="2" t="s">
        <v>117</v>
      </c>
      <c r="C24" s="4">
        <v>2E-3</v>
      </c>
      <c r="D24" s="5" t="str">
        <f t="shared" si="0"/>
        <v>Health Care</v>
      </c>
      <c r="E24" s="4"/>
      <c r="F24" s="4"/>
      <c r="G24" s="4"/>
      <c r="H24" t="s">
        <v>47</v>
      </c>
      <c r="I24" t="s">
        <v>48</v>
      </c>
      <c r="J24" s="1">
        <v>2.5000000000000001E-3</v>
      </c>
      <c r="K24" t="s">
        <v>96</v>
      </c>
    </row>
    <row r="25" spans="1:11" ht="17" x14ac:dyDescent="0.2">
      <c r="A25" s="2" t="s">
        <v>56</v>
      </c>
      <c r="B25" s="2" t="s">
        <v>120</v>
      </c>
      <c r="C25" s="4">
        <v>2E-3</v>
      </c>
      <c r="D25" s="5" t="str">
        <f t="shared" si="0"/>
        <v>Consumer Staples</v>
      </c>
      <c r="E25" s="4"/>
      <c r="F25" s="4"/>
      <c r="G25" s="4"/>
      <c r="H25" t="s">
        <v>49</v>
      </c>
      <c r="I25" t="s">
        <v>50</v>
      </c>
      <c r="J25" s="1">
        <v>2.5000000000000001E-3</v>
      </c>
      <c r="K25" t="s">
        <v>95</v>
      </c>
    </row>
    <row r="26" spans="1:11" ht="17" x14ac:dyDescent="0.2">
      <c r="A26" s="2" t="s">
        <v>55</v>
      </c>
      <c r="B26" s="2" t="s">
        <v>120</v>
      </c>
      <c r="C26" s="4">
        <v>2E-3</v>
      </c>
      <c r="D26" s="5" t="str">
        <f t="shared" si="0"/>
        <v>Consumer Staples</v>
      </c>
      <c r="E26" s="4"/>
      <c r="F26" s="4"/>
      <c r="G26" s="4"/>
      <c r="H26" t="s">
        <v>51</v>
      </c>
      <c r="I26" t="s">
        <v>52</v>
      </c>
      <c r="J26" s="1">
        <v>2.3E-3</v>
      </c>
      <c r="K26" t="s">
        <v>95</v>
      </c>
    </row>
    <row r="27" spans="1:11" ht="17" x14ac:dyDescent="0.2">
      <c r="A27" s="2" t="s">
        <v>47</v>
      </c>
      <c r="B27" s="2" t="s">
        <v>131</v>
      </c>
      <c r="C27" s="4">
        <v>2E-3</v>
      </c>
      <c r="D27" s="5" t="str">
        <f t="shared" si="0"/>
        <v>Consumer Staples</v>
      </c>
      <c r="E27" s="4"/>
      <c r="F27" s="4"/>
      <c r="G27" s="4"/>
      <c r="H27" t="s">
        <v>53</v>
      </c>
      <c r="I27" t="s">
        <v>54</v>
      </c>
      <c r="J27" s="1">
        <v>2E-3</v>
      </c>
      <c r="K27" t="s">
        <v>95</v>
      </c>
    </row>
    <row r="28" spans="1:11" ht="17" x14ac:dyDescent="0.2">
      <c r="A28" s="2" t="s">
        <v>51</v>
      </c>
      <c r="B28" s="2" t="s">
        <v>138</v>
      </c>
      <c r="C28" s="4">
        <v>2E-3</v>
      </c>
      <c r="D28" s="5" t="str">
        <f t="shared" si="0"/>
        <v>Consumer Discretionary</v>
      </c>
      <c r="E28" s="4"/>
      <c r="F28" s="4"/>
      <c r="G28" s="4"/>
      <c r="H28" t="s">
        <v>55</v>
      </c>
      <c r="I28" t="s">
        <v>44</v>
      </c>
      <c r="J28" s="1">
        <v>1.6000000000000001E-3</v>
      </c>
      <c r="K28" t="s">
        <v>91</v>
      </c>
    </row>
    <row r="29" spans="1:11" ht="17" x14ac:dyDescent="0.2">
      <c r="A29" s="2" t="s">
        <v>57</v>
      </c>
      <c r="B29" s="2" t="s">
        <v>119</v>
      </c>
      <c r="C29" s="4">
        <v>1E-3</v>
      </c>
      <c r="D29" s="5" t="str">
        <f t="shared" si="0"/>
        <v>Utilities And Telecommunications</v>
      </c>
      <c r="E29" s="4"/>
      <c r="F29" s="4"/>
      <c r="G29" s="4"/>
      <c r="H29" t="s">
        <v>56</v>
      </c>
      <c r="I29" t="s">
        <v>44</v>
      </c>
      <c r="J29" s="1">
        <v>1.5E-3</v>
      </c>
      <c r="K29" t="s">
        <v>97</v>
      </c>
    </row>
    <row r="30" spans="1:11" ht="17" x14ac:dyDescent="0.2">
      <c r="A30" s="2" t="s">
        <v>64</v>
      </c>
      <c r="B30" s="2" t="s">
        <v>120</v>
      </c>
      <c r="C30" s="4">
        <v>1E-3</v>
      </c>
      <c r="D30" s="5" t="str">
        <f t="shared" si="0"/>
        <v>Communications</v>
      </c>
      <c r="E30" s="4"/>
      <c r="F30" s="4"/>
      <c r="G30" s="4"/>
      <c r="H30" t="s">
        <v>57</v>
      </c>
      <c r="I30" t="s">
        <v>58</v>
      </c>
      <c r="J30" s="1">
        <v>1.4E-3</v>
      </c>
      <c r="K30" t="s">
        <v>92</v>
      </c>
    </row>
    <row r="31" spans="1:11" ht="17" x14ac:dyDescent="0.2">
      <c r="A31" s="2" t="s">
        <v>61</v>
      </c>
      <c r="B31" s="2" t="s">
        <v>120</v>
      </c>
      <c r="C31" s="4">
        <v>1E-3</v>
      </c>
      <c r="D31" s="5" t="str">
        <f t="shared" si="0"/>
        <v>Communications</v>
      </c>
      <c r="E31" s="4"/>
      <c r="F31" s="4"/>
      <c r="G31" s="4"/>
      <c r="H31" t="s">
        <v>59</v>
      </c>
      <c r="I31" t="s">
        <v>60</v>
      </c>
      <c r="J31" s="1">
        <v>1.1999999999999999E-3</v>
      </c>
      <c r="K31" t="s">
        <v>92</v>
      </c>
    </row>
    <row r="32" spans="1:11" ht="17" x14ac:dyDescent="0.2">
      <c r="A32" s="2" t="s">
        <v>59</v>
      </c>
      <c r="B32" s="2" t="s">
        <v>127</v>
      </c>
      <c r="C32" s="4">
        <v>1E-3</v>
      </c>
      <c r="D32" s="5" t="str">
        <f t="shared" si="0"/>
        <v>Communications</v>
      </c>
      <c r="E32" s="4"/>
      <c r="F32" s="4"/>
      <c r="G32" s="4"/>
      <c r="H32" t="s">
        <v>61</v>
      </c>
      <c r="I32" t="s">
        <v>44</v>
      </c>
      <c r="J32" s="1">
        <v>1.1000000000000001E-3</v>
      </c>
      <c r="K32" t="s">
        <v>92</v>
      </c>
    </row>
    <row r="33" spans="1:11" ht="17" x14ac:dyDescent="0.2">
      <c r="A33" s="2" t="s">
        <v>62</v>
      </c>
      <c r="B33" s="2" t="s">
        <v>130</v>
      </c>
      <c r="C33" s="4">
        <v>1E-3</v>
      </c>
      <c r="D33" s="5" t="str">
        <f t="shared" si="0"/>
        <v>Materials</v>
      </c>
      <c r="E33" s="4"/>
      <c r="F33" s="4"/>
      <c r="G33" s="4"/>
      <c r="H33" t="s">
        <v>62</v>
      </c>
      <c r="I33" t="s">
        <v>63</v>
      </c>
      <c r="J33" s="1">
        <v>6.9999999999999999E-4</v>
      </c>
      <c r="K33" t="s">
        <v>93</v>
      </c>
    </row>
    <row r="34" spans="1:11" ht="17" x14ac:dyDescent="0.2">
      <c r="A34" s="2" t="s">
        <v>81</v>
      </c>
      <c r="B34" s="2" t="s">
        <v>104</v>
      </c>
      <c r="C34" s="4">
        <v>0</v>
      </c>
      <c r="D34" s="5" t="str">
        <f t="shared" si="0"/>
        <v>Not Matched</v>
      </c>
      <c r="E34" s="4"/>
      <c r="F34" s="4"/>
      <c r="G34" s="4"/>
      <c r="H34" t="s">
        <v>64</v>
      </c>
      <c r="I34" t="s">
        <v>44</v>
      </c>
      <c r="J34" s="1">
        <v>5.0000000000000001E-4</v>
      </c>
      <c r="K34" t="s">
        <v>92</v>
      </c>
    </row>
    <row r="35" spans="1:11" ht="17" x14ac:dyDescent="0.2">
      <c r="A35" s="2" t="s">
        <v>73</v>
      </c>
      <c r="B35" s="2" t="s">
        <v>116</v>
      </c>
      <c r="C35" s="4">
        <v>0</v>
      </c>
      <c r="D35" s="5" t="str">
        <f t="shared" si="0"/>
        <v>Communications</v>
      </c>
      <c r="E35" s="4"/>
      <c r="F35" s="4"/>
      <c r="G35" s="4"/>
      <c r="H35" t="s">
        <v>65</v>
      </c>
      <c r="I35" t="s">
        <v>66</v>
      </c>
      <c r="J35" s="1">
        <v>4.0000000000000002E-4</v>
      </c>
      <c r="K35" t="s">
        <v>92</v>
      </c>
    </row>
    <row r="36" spans="1:11" ht="17" x14ac:dyDescent="0.2">
      <c r="A36" s="2" t="s">
        <v>67</v>
      </c>
      <c r="B36" s="2" t="s">
        <v>121</v>
      </c>
      <c r="C36" s="4">
        <v>0</v>
      </c>
      <c r="D36" s="5" t="str">
        <f t="shared" si="0"/>
        <v>Finance</v>
      </c>
      <c r="E36" s="4"/>
      <c r="F36" s="4"/>
      <c r="G36" s="4"/>
      <c r="H36" t="s">
        <v>67</v>
      </c>
      <c r="I36" t="s">
        <v>68</v>
      </c>
      <c r="J36" s="1">
        <v>2.9999999999999997E-4</v>
      </c>
      <c r="K36" t="s">
        <v>90</v>
      </c>
    </row>
    <row r="37" spans="1:11" ht="17" x14ac:dyDescent="0.2">
      <c r="A37" s="2" t="s">
        <v>78</v>
      </c>
      <c r="B37" s="2" t="s">
        <v>102</v>
      </c>
      <c r="C37" s="4">
        <v>0</v>
      </c>
      <c r="D37" s="5" t="str">
        <f t="shared" si="0"/>
        <v>Finance</v>
      </c>
      <c r="E37" s="4"/>
      <c r="F37" s="4"/>
      <c r="G37" s="4"/>
      <c r="H37" t="s">
        <v>69</v>
      </c>
      <c r="I37" t="s">
        <v>70</v>
      </c>
      <c r="J37" s="1">
        <v>2.0000000000000001E-4</v>
      </c>
      <c r="K37" t="s">
        <v>90</v>
      </c>
    </row>
    <row r="38" spans="1:11" ht="17" x14ac:dyDescent="0.2">
      <c r="A38" s="2" t="s">
        <v>126</v>
      </c>
      <c r="B38" s="2" t="s">
        <v>103</v>
      </c>
      <c r="C38" s="4">
        <v>0</v>
      </c>
      <c r="D38" s="5" t="str">
        <f t="shared" si="0"/>
        <v>Not Matched</v>
      </c>
      <c r="E38" s="4"/>
      <c r="F38" s="4"/>
      <c r="G38" s="4"/>
      <c r="H38" t="s">
        <v>71</v>
      </c>
      <c r="I38" t="s">
        <v>72</v>
      </c>
      <c r="J38" s="1">
        <v>1E-4</v>
      </c>
      <c r="K38" t="s">
        <v>95</v>
      </c>
    </row>
    <row r="39" spans="1:11" ht="17" x14ac:dyDescent="0.2">
      <c r="A39" s="2" t="s">
        <v>75</v>
      </c>
      <c r="B39" s="2" t="s">
        <v>99</v>
      </c>
      <c r="C39" s="4">
        <v>0</v>
      </c>
      <c r="D39" s="5" t="str">
        <f t="shared" si="0"/>
        <v>Finance</v>
      </c>
      <c r="E39" s="4"/>
      <c r="F39" s="4"/>
      <c r="G39" s="4"/>
      <c r="H39" t="s">
        <v>73</v>
      </c>
      <c r="I39" t="s">
        <v>74</v>
      </c>
      <c r="J39" s="1">
        <v>1E-4</v>
      </c>
      <c r="K39" t="s">
        <v>90</v>
      </c>
    </row>
    <row r="40" spans="1:11" ht="17" x14ac:dyDescent="0.2">
      <c r="A40" s="2" t="s">
        <v>80</v>
      </c>
      <c r="B40" s="2" t="s">
        <v>99</v>
      </c>
      <c r="C40" s="4">
        <v>0</v>
      </c>
      <c r="D40" s="5" t="str">
        <f t="shared" si="0"/>
        <v>Information Technology</v>
      </c>
      <c r="E40" s="4"/>
      <c r="F40" s="4"/>
      <c r="G40" s="4"/>
      <c r="H40" t="s">
        <v>75</v>
      </c>
      <c r="I40" s="2" t="s">
        <v>99</v>
      </c>
      <c r="K40" t="s">
        <v>89</v>
      </c>
    </row>
    <row r="41" spans="1:11" ht="17" x14ac:dyDescent="0.2">
      <c r="A41" s="2" t="s">
        <v>69</v>
      </c>
      <c r="B41" s="2" t="s">
        <v>132</v>
      </c>
      <c r="C41" s="4">
        <v>0</v>
      </c>
      <c r="D41" s="5" t="str">
        <f t="shared" si="0"/>
        <v>Consumer Discretionary</v>
      </c>
      <c r="E41" s="4"/>
      <c r="F41" s="4"/>
      <c r="G41" s="4"/>
      <c r="H41" t="s">
        <v>76</v>
      </c>
      <c r="I41" s="2" t="s">
        <v>100</v>
      </c>
      <c r="K41" t="s">
        <v>91</v>
      </c>
    </row>
    <row r="42" spans="1:11" ht="17" x14ac:dyDescent="0.2">
      <c r="A42" s="2" t="s">
        <v>71</v>
      </c>
      <c r="B42" s="2" t="s">
        <v>135</v>
      </c>
      <c r="C42" s="4">
        <v>0</v>
      </c>
      <c r="D42" s="5" t="str">
        <f t="shared" si="0"/>
        <v>Energy</v>
      </c>
      <c r="E42" s="4"/>
      <c r="F42" s="4"/>
      <c r="G42" s="4"/>
      <c r="H42" t="s">
        <v>77</v>
      </c>
      <c r="I42" s="2" t="s">
        <v>101</v>
      </c>
      <c r="K42" t="s">
        <v>94</v>
      </c>
    </row>
    <row r="43" spans="1:11" ht="17" x14ac:dyDescent="0.2">
      <c r="A43" s="2" t="s">
        <v>77</v>
      </c>
      <c r="B43" s="2" t="s">
        <v>101</v>
      </c>
      <c r="C43" s="4">
        <v>0</v>
      </c>
      <c r="D43" s="5" t="str">
        <f t="shared" si="0"/>
        <v>Communications</v>
      </c>
      <c r="E43" s="4"/>
      <c r="F43" s="4"/>
      <c r="G43" s="4"/>
      <c r="H43" t="s">
        <v>78</v>
      </c>
      <c r="I43" s="2" t="s">
        <v>102</v>
      </c>
      <c r="K43" t="s">
        <v>92</v>
      </c>
    </row>
    <row r="44" spans="1:11" ht="17" x14ac:dyDescent="0.2">
      <c r="A44" s="2" t="s">
        <v>65</v>
      </c>
      <c r="B44" s="2" t="s">
        <v>137</v>
      </c>
      <c r="C44" s="4">
        <v>0</v>
      </c>
      <c r="D44" s="5" t="str">
        <f t="shared" si="0"/>
        <v>Consumer Staples</v>
      </c>
      <c r="E44" s="4"/>
      <c r="F44" s="4"/>
      <c r="G44" s="4"/>
      <c r="H44" t="s">
        <v>79</v>
      </c>
      <c r="I44" s="2" t="s">
        <v>103</v>
      </c>
      <c r="K44" t="s">
        <v>95</v>
      </c>
    </row>
    <row r="45" spans="1:11" ht="17" x14ac:dyDescent="0.2">
      <c r="A45" s="2" t="s">
        <v>76</v>
      </c>
      <c r="B45" s="2" t="s">
        <v>100</v>
      </c>
      <c r="C45" s="4">
        <v>0</v>
      </c>
      <c r="D45" s="5" t="str">
        <f t="shared" si="0"/>
        <v>Communications</v>
      </c>
      <c r="E45" s="4"/>
      <c r="F45" s="4"/>
      <c r="G45" s="4"/>
      <c r="H45" t="s">
        <v>80</v>
      </c>
      <c r="I45" s="2" t="s">
        <v>99</v>
      </c>
      <c r="K45" t="s">
        <v>92</v>
      </c>
    </row>
    <row r="46" spans="1:11" ht="17" x14ac:dyDescent="0.2">
      <c r="A46" s="2" t="s">
        <v>23</v>
      </c>
      <c r="B46" s="2" t="s">
        <v>140</v>
      </c>
      <c r="D46" s="5" t="str">
        <f t="shared" si="0"/>
        <v>Information Technology</v>
      </c>
      <c r="I46" s="2"/>
      <c r="K46" t="s">
        <v>89</v>
      </c>
    </row>
    <row r="47" spans="1:11" x14ac:dyDescent="0.2">
      <c r="K47" t="s">
        <v>90</v>
      </c>
    </row>
    <row r="48" spans="1:11" x14ac:dyDescent="0.2">
      <c r="K48" t="s">
        <v>89</v>
      </c>
    </row>
    <row r="49" spans="11:11" x14ac:dyDescent="0.2">
      <c r="K49" t="s">
        <v>97</v>
      </c>
    </row>
    <row r="50" spans="11:11" x14ac:dyDescent="0.2">
      <c r="K50" t="s">
        <v>98</v>
      </c>
    </row>
    <row r="51" spans="11:11" x14ac:dyDescent="0.2">
      <c r="K51" t="s">
        <v>90</v>
      </c>
    </row>
    <row r="52" spans="11:11" x14ac:dyDescent="0.2">
      <c r="K52" t="s">
        <v>90</v>
      </c>
    </row>
    <row r="53" spans="11:11" x14ac:dyDescent="0.2">
      <c r="K53" t="s">
        <v>92</v>
      </c>
    </row>
  </sheetData>
  <sortState xmlns:xlrd2="http://schemas.microsoft.com/office/spreadsheetml/2017/richdata2" ref="A2:H46">
    <sortCondition descending="1" ref="C2:C4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Berkshire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Jatin Jaisinghani</dc:creator>
  <cp:lastModifiedBy>Jatin Jaisinghani</cp:lastModifiedBy>
  <dcterms:created xsi:type="dcterms:W3CDTF">2023-11-18T22:56:18Z</dcterms:created>
  <dcterms:modified xsi:type="dcterms:W3CDTF">2023-11-18T23:06:47Z</dcterms:modified>
</cp:coreProperties>
</file>